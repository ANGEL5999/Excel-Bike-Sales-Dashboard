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8" yWindow="-108" windowWidth="23256" windowHeight="12456" activeTab="3"/>
  </bookViews>
  <sheets>
    <sheet name="RAW DATA" sheetId="1" r:id="rId1"/>
    <sheet name="PIVOT TABLES" sheetId="4" r:id="rId2"/>
    <sheet name="WORKING DATA" sheetId="3" r:id="rId3"/>
    <sheet name="DASHBOARD" sheetId="7" r:id="rId4"/>
  </sheets>
  <definedNames>
    <definedName name="_xlnm._FilterDatabase" localSheetId="0" hidden="1">'RAW DATA'!$A$1:$M$1001</definedName>
    <definedName name="_xlnm._FilterDatabase" localSheetId="2" hidden="1">'WORKING DATA'!$A$1:$N$1001</definedName>
    <definedName name="Slicer_Education">#N/A</definedName>
    <definedName name="Slicer_Marital_Status">#N/A</definedName>
    <definedName name="Slicer_Region">#N/A</definedName>
  </definedNames>
  <calcPr calcId="144525"/>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<sst xmlns="http://schemas.openxmlformats.org/spreadsheetml/2006/main" count="16272" uniqueCount="55">
  <si>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</si>
  <si>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</si>
  <si>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</si>
  <si>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</si>
  <si>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</si>
  <si>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</si>
  <si>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</si>
  <si>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</si>
  <si>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</si>
  <si>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</si>
  <si>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</si>
  <si>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</si>
  <si>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</si>
  <si>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</si>
  <si>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</si>
  <si>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</si>
  <si>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</si>
  <si>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</si>
  <si>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</si>
  <si>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</si>
  <si>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</si>
  <si>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</si>
  <si>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</si>
  <si>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</si>
  <si>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</si>
  <si>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</si>
  <si>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</si>
  <si>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</si>
  <si>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</si>
  <si>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</si>
  <si>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</si>
  <si>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</si>
  <si>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</si>
  <si>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</si>
  <si>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</si>
  <si>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</si>
  <si>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</si>
  <si>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</si>
  <si>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</si>
  <si>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</si>
  <si>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t>
  </si>
  <si>
    <t>Row Labels</t>
  </si>
  <si>
    <t>Grand Total</t>
  </si>
  <si>
    <t>Column Labels</t>
  </si>
  <si>
    <t>Average of Income</t>
  </si>
  <si>
    <t>Adult</t>
  </si>
  <si>
    <t>Young</t>
  </si>
  <si>
    <t>Senior</t>
  </si>
  <si>
    <t>Count of Purchased Bike</t>
  </si>
  <si>
    <t>Average Income by Gender &amp; Bike Purchase</t>
  </si>
  <si>
    <t>(Goal: Compare average income levels of people who bought vs. did not buy a bike, split by gender.)</t>
  </si>
  <si>
    <t>Commute Distance vs. Bike Purchased</t>
  </si>
  <si>
    <t>(Goal: See how far people travel to work and if commute distance influences bike purchases.)</t>
  </si>
  <si>
    <t>(Age Bracket vs. Purchased Bike)</t>
  </si>
  <si>
    <t>(Goal: See which age groups buy the most bikes.)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</si>
</sst>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11"/>
      <color theme="4"/>
      <name val="Calibri"/>
      <family val="2"/>
      <scheme val="minor"/>
    </font>
    <font>
      <i/>
      <sz val="11"/>
      <color theme="9" tint="-0.499984740745262"/>
      <name val="Calibri"/>
      <family val="2"/>
      <scheme val="minor"/>
    </font>
    <font>
      <i/>
      <u val="double"/>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9" fillId="0" borderId="0" xfId="0" applyFont="1" applyAlignment="1">
      <alignment horizontal="center"/>
    </xf>
    <xf numFmtId="0" fontId="19" fillId="0" borderId="0" xfId="0"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TABLES!PivotTable1</c:name>
    <c:fmtId val="4"/>
  </c:pivotSource>
  <c:chart>
    <c:title>
      <c:tx>
        <c:rich>
          <a:bodyPr/>
          <a:lstStyle/>
          <a:p>
            <a:pPr>
              <a:defRPr/>
            </a:pPr>
            <a:r>
              <a:rPr lang="en-US" sz="1800" b="0" i="1" u="dbl" strike="noStrike" baseline="0">
                <a:effectLst/>
              </a:rPr>
              <a:t>Average Income by Gender and Bike Purchase</a:t>
            </a:r>
            <a:r>
              <a:rPr lang="en-US" sz="1800" b="1" i="0" u="none" strike="noStrike" baseline="0"/>
              <a:t> </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TABLES'!$B$3:$B$4</c:f>
              <c:strCache>
                <c:ptCount val="1"/>
                <c:pt idx="0">
                  <c:v>No</c:v>
                </c:pt>
              </c:strCache>
            </c:strRef>
          </c:tx>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ser>
        <c:ser>
          <c:idx val="1"/>
          <c:order val="1"/>
          <c:tx>
            <c:strRef>
              <c:f>'PIVOT TABLES'!$C$3:$C$4</c:f>
              <c:strCache>
                <c:ptCount val="1"/>
                <c:pt idx="0">
                  <c:v>Yes</c:v>
                </c:pt>
              </c:strCache>
            </c:strRef>
          </c:tx>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150"/>
        <c:axId val="143888384"/>
        <c:axId val="143889920"/>
      </c:barChart>
      <c:catAx>
        <c:axId val="143888384"/>
        <c:scaling>
          <c:orientation val="minMax"/>
        </c:scaling>
        <c:delete val="0"/>
        <c:axPos val="b"/>
        <c:majorTickMark val="out"/>
        <c:minorTickMark val="none"/>
        <c:tickLblPos val="nextTo"/>
        <c:crossAx val="143889920"/>
        <c:crosses val="autoZero"/>
        <c:auto val="1"/>
        <c:lblAlgn val="ctr"/>
        <c:lblOffset val="100"/>
        <c:noMultiLvlLbl val="0"/>
      </c:catAx>
      <c:valAx>
        <c:axId val="143889920"/>
        <c:scaling>
          <c:orientation val="minMax"/>
        </c:scaling>
        <c:delete val="0"/>
        <c:axPos val="l"/>
        <c:majorGridlines/>
        <c:numFmt formatCode="&quot;$&quot;#,##0" sourceLinked="1"/>
        <c:majorTickMark val="out"/>
        <c:minorTickMark val="none"/>
        <c:tickLblPos val="nextTo"/>
        <c:crossAx val="1438883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TABLES!PivotTable2</c:name>
    <c:fmtId val="2"/>
  </c:pivotSource>
  <c:chart>
    <c:title>
      <c:tx>
        <c:rich>
          <a:bodyPr/>
          <a:lstStyle/>
          <a:p>
            <a:pPr>
              <a:defRPr/>
            </a:pPr>
            <a:r>
              <a:rPr lang="en-US" b="0" i="1" u="dbl"/>
              <a:t>Commute</a:t>
            </a:r>
            <a:r>
              <a:rPr lang="en-US" b="0" i="1" u="dbl" baseline="0"/>
              <a:t> Distance v/s Bike Purchased</a:t>
            </a:r>
            <a:endParaRPr lang="en-US" b="0" i="1" u="dbl"/>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TABLES'!$B$12:$B$13</c:f>
              <c:strCache>
                <c:ptCount val="1"/>
                <c:pt idx="0">
                  <c:v>No</c:v>
                </c:pt>
              </c:strCache>
            </c:strRef>
          </c:tx>
          <c:invertIfNegative val="0"/>
          <c:cat>
            <c:strRef>
              <c:f>'PIVOT TABLES'!$A$14:$A$19</c:f>
              <c:strCache>
                <c:ptCount val="5"/>
                <c:pt idx="0">
                  <c:v>0-1 Miles</c:v>
                </c:pt>
                <c:pt idx="1">
                  <c:v>1-2 Miles</c:v>
                </c:pt>
                <c:pt idx="2">
                  <c:v>2-5 Miles</c:v>
                </c:pt>
                <c:pt idx="3">
                  <c:v>5-10 Miles</c:v>
                </c:pt>
                <c:pt idx="4">
                  <c:v>10+ Miles</c:v>
                </c:pt>
              </c:strCache>
            </c:strRef>
          </c:cat>
          <c:val>
            <c:numRef>
              <c:f>'PIVOT TABLES'!$B$14:$B$19</c:f>
              <c:numCache>
                <c:formatCode>General</c:formatCode>
                <c:ptCount val="5"/>
                <c:pt idx="0">
                  <c:v>166</c:v>
                </c:pt>
                <c:pt idx="1">
                  <c:v>92</c:v>
                </c:pt>
                <c:pt idx="2">
                  <c:v>67</c:v>
                </c:pt>
                <c:pt idx="3">
                  <c:v>116</c:v>
                </c:pt>
                <c:pt idx="4">
                  <c:v>78</c:v>
                </c:pt>
              </c:numCache>
            </c:numRef>
          </c:val>
        </c:ser>
        <c:ser>
          <c:idx val="1"/>
          <c:order val="1"/>
          <c:tx>
            <c:strRef>
              <c:f>'PIVOT TABLES'!$C$12:$C$13</c:f>
              <c:strCache>
                <c:ptCount val="1"/>
                <c:pt idx="0">
                  <c:v>Yes</c:v>
                </c:pt>
              </c:strCache>
            </c:strRef>
          </c:tx>
          <c:invertIfNegative val="0"/>
          <c:cat>
            <c:strRef>
              <c:f>'PIVOT TABLES'!$A$14:$A$19</c:f>
              <c:strCache>
                <c:ptCount val="5"/>
                <c:pt idx="0">
                  <c:v>0-1 Miles</c:v>
                </c:pt>
                <c:pt idx="1">
                  <c:v>1-2 Miles</c:v>
                </c:pt>
                <c:pt idx="2">
                  <c:v>2-5 Miles</c:v>
                </c:pt>
                <c:pt idx="3">
                  <c:v>5-10 Miles</c:v>
                </c:pt>
                <c:pt idx="4">
                  <c:v>10+ Miles</c:v>
                </c:pt>
              </c:strCache>
            </c:strRef>
          </c:cat>
          <c:val>
            <c:numRef>
              <c:f>'PIVOT TABLES'!$C$14:$C$19</c:f>
              <c:numCache>
                <c:formatCode>General</c:formatCode>
                <c:ptCount val="5"/>
                <c:pt idx="0">
                  <c:v>200</c:v>
                </c:pt>
                <c:pt idx="1">
                  <c:v>77</c:v>
                </c:pt>
                <c:pt idx="2">
                  <c:v>95</c:v>
                </c:pt>
                <c:pt idx="3">
                  <c:v>76</c:v>
                </c:pt>
                <c:pt idx="4">
                  <c:v>33</c:v>
                </c:pt>
              </c:numCache>
            </c:numRef>
          </c:val>
        </c:ser>
        <c:dLbls>
          <c:showLegendKey val="0"/>
          <c:showVal val="0"/>
          <c:showCatName val="0"/>
          <c:showSerName val="0"/>
          <c:showPercent val="0"/>
          <c:showBubbleSize val="0"/>
        </c:dLbls>
        <c:gapWidth val="150"/>
        <c:axId val="143907072"/>
        <c:axId val="143994880"/>
      </c:barChart>
      <c:catAx>
        <c:axId val="143907072"/>
        <c:scaling>
          <c:orientation val="minMax"/>
        </c:scaling>
        <c:delete val="0"/>
        <c:axPos val="b"/>
        <c:majorTickMark val="out"/>
        <c:minorTickMark val="none"/>
        <c:tickLblPos val="nextTo"/>
        <c:crossAx val="143994880"/>
        <c:crosses val="autoZero"/>
        <c:auto val="1"/>
        <c:lblAlgn val="ctr"/>
        <c:lblOffset val="100"/>
        <c:noMultiLvlLbl val="0"/>
      </c:catAx>
      <c:valAx>
        <c:axId val="143994880"/>
        <c:scaling>
          <c:orientation val="minMax"/>
        </c:scaling>
        <c:delete val="0"/>
        <c:axPos val="l"/>
        <c:majorGridlines/>
        <c:numFmt formatCode="General" sourceLinked="1"/>
        <c:majorTickMark val="out"/>
        <c:minorTickMark val="none"/>
        <c:tickLblPos val="nextTo"/>
        <c:crossAx val="143907072"/>
        <c:crosses val="autoZero"/>
        <c:crossBetween val="between"/>
      </c:valAx>
    </c:plotArea>
    <c:legend>
      <c:legendPos val="r"/>
      <c:layout/>
      <c:overlay val="0"/>
    </c:legend>
    <c:plotVisOnly val="1"/>
    <c:dispBlanksAs val="gap"/>
    <c:showDLblsOverMax val="0"/>
  </c:chart>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TABLES!PivotTable3</c:name>
    <c:fmtId val="2"/>
  </c:pivotSource>
  <c:chart>
    <c:title>
      <c:tx>
        <c:rich>
          <a:bodyPr/>
          <a:lstStyle/>
          <a:p>
            <a:pPr>
              <a:defRPr/>
            </a:pPr>
            <a:r>
              <a:rPr lang="en-US" b="0" i="1" u="dbl"/>
              <a:t>Bike</a:t>
            </a:r>
            <a:r>
              <a:rPr lang="en-US" b="0" i="1" u="dbl" baseline="0"/>
              <a:t> Purchases by Age Group</a:t>
            </a:r>
            <a:endParaRPr lang="en-US" b="0" i="1" u="dbl"/>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7.2182852143482065E-2"/>
          <c:y val="0.25769247594050743"/>
          <c:w val="0.69670603674540688"/>
          <c:h val="0.64947579469233008"/>
        </c:manualLayout>
      </c:layout>
      <c:barChart>
        <c:barDir val="col"/>
        <c:grouping val="clustered"/>
        <c:varyColors val="0"/>
        <c:ser>
          <c:idx val="0"/>
          <c:order val="0"/>
          <c:tx>
            <c:strRef>
              <c:f>'PIVOT TABLES'!$B$24:$B$25</c:f>
              <c:strCache>
                <c:ptCount val="1"/>
                <c:pt idx="0">
                  <c:v>No</c:v>
                </c:pt>
              </c:strCache>
            </c:strRef>
          </c:tx>
          <c:invertIfNegative val="0"/>
          <c:cat>
            <c:strRef>
              <c:f>'PIVOT TABLES'!$A$26:$A$29</c:f>
              <c:strCache>
                <c:ptCount val="3"/>
                <c:pt idx="0">
                  <c:v>Young</c:v>
                </c:pt>
                <c:pt idx="1">
                  <c:v>Adult</c:v>
                </c:pt>
                <c:pt idx="2">
                  <c:v>Senior</c:v>
                </c:pt>
              </c:strCache>
            </c:strRef>
          </c:cat>
          <c:val>
            <c:numRef>
              <c:f>'PIVOT TABLES'!$B$26:$B$29</c:f>
              <c:numCache>
                <c:formatCode>General</c:formatCode>
                <c:ptCount val="3"/>
                <c:pt idx="0">
                  <c:v>71</c:v>
                </c:pt>
                <c:pt idx="1">
                  <c:v>318</c:v>
                </c:pt>
                <c:pt idx="2">
                  <c:v>130</c:v>
                </c:pt>
              </c:numCache>
            </c:numRef>
          </c:val>
        </c:ser>
        <c:ser>
          <c:idx val="1"/>
          <c:order val="1"/>
          <c:tx>
            <c:strRef>
              <c:f>'PIVOT TABLES'!$C$24:$C$25</c:f>
              <c:strCache>
                <c:ptCount val="1"/>
                <c:pt idx="0">
                  <c:v>Yes</c:v>
                </c:pt>
              </c:strCache>
            </c:strRef>
          </c:tx>
          <c:invertIfNegative val="0"/>
          <c:cat>
            <c:strRef>
              <c:f>'PIVOT TABLES'!$A$26:$A$29</c:f>
              <c:strCache>
                <c:ptCount val="3"/>
                <c:pt idx="0">
                  <c:v>Young</c:v>
                </c:pt>
                <c:pt idx="1">
                  <c:v>Adult</c:v>
                </c:pt>
                <c:pt idx="2">
                  <c:v>Senior</c:v>
                </c:pt>
              </c:strCache>
            </c:strRef>
          </c:cat>
          <c:val>
            <c:numRef>
              <c:f>'PIVOT TABLES'!$C$26:$C$29</c:f>
              <c:numCache>
                <c:formatCode>General</c:formatCode>
                <c:ptCount val="3"/>
                <c:pt idx="0">
                  <c:v>39</c:v>
                </c:pt>
                <c:pt idx="1">
                  <c:v>383</c:v>
                </c:pt>
                <c:pt idx="2">
                  <c:v>59</c:v>
                </c:pt>
              </c:numCache>
            </c:numRef>
          </c:val>
        </c:ser>
        <c:dLbls>
          <c:showLegendKey val="0"/>
          <c:showVal val="0"/>
          <c:showCatName val="0"/>
          <c:showSerName val="0"/>
          <c:showPercent val="0"/>
          <c:showBubbleSize val="0"/>
        </c:dLbls>
        <c:gapWidth val="150"/>
        <c:axId val="144024320"/>
        <c:axId val="144025856"/>
      </c:barChart>
      <c:catAx>
        <c:axId val="144024320"/>
        <c:scaling>
          <c:orientation val="minMax"/>
        </c:scaling>
        <c:delete val="0"/>
        <c:axPos val="b"/>
        <c:majorTickMark val="out"/>
        <c:minorTickMark val="none"/>
        <c:tickLblPos val="nextTo"/>
        <c:crossAx val="144025856"/>
        <c:crosses val="autoZero"/>
        <c:auto val="1"/>
        <c:lblAlgn val="ctr"/>
        <c:lblOffset val="100"/>
        <c:noMultiLvlLbl val="0"/>
      </c:catAx>
      <c:valAx>
        <c:axId val="144025856"/>
        <c:scaling>
          <c:orientation val="minMax"/>
        </c:scaling>
        <c:delete val="0"/>
        <c:axPos val="l"/>
        <c:majorGridlines/>
        <c:numFmt formatCode="General" sourceLinked="1"/>
        <c:majorTickMark val="out"/>
        <c:minorTickMark val="none"/>
        <c:tickLblPos val="nextTo"/>
        <c:crossAx val="1440243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487680</xdr:colOff>
      <xdr:row>1</xdr:row>
      <xdr:rowOff>15240</xdr:rowOff>
    </xdr:from>
    <xdr:to>
      <xdr:col>15</xdr:col>
      <xdr:colOff>518160</xdr:colOff>
      <xdr:row>16</xdr:row>
      <xdr:rowOff>15240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83820</xdr:colOff>
      <xdr:row>0</xdr:row>
      <xdr:rowOff>175260</xdr:rowOff>
    </xdr:from>
    <xdr:to>
      <xdr:col>23</xdr:col>
      <xdr:colOff>365760</xdr:colOff>
      <xdr:row>15</xdr:row>
      <xdr:rowOff>160020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83820</xdr:colOff>
      <xdr:row>20</xdr:row>
      <xdr:rowOff>53341</xdr:rowOff>
    </xdr:from>
    <xdr:to>
      <xdr:col>17</xdr:col>
      <xdr:colOff>83820</xdr:colOff>
      <xdr:row>26</xdr:row>
      <xdr:rowOff>7621</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92540" y="3710941"/>
              <a:ext cx="182880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17</xdr:row>
      <xdr:rowOff>53340</xdr:rowOff>
    </xdr:from>
    <xdr:to>
      <xdr:col>10</xdr:col>
      <xdr:colOff>601980</xdr:colOff>
      <xdr:row>30</xdr:row>
      <xdr:rowOff>142875</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869180" y="3162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830580</xdr:colOff>
      <xdr:row>19</xdr:row>
      <xdr:rowOff>45721</xdr:rowOff>
    </xdr:from>
    <xdr:to>
      <xdr:col>13</xdr:col>
      <xdr:colOff>563880</xdr:colOff>
      <xdr:row>26</xdr:row>
      <xdr:rowOff>91441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26580" y="3520441"/>
              <a:ext cx="183642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73.645635532404" createdVersion="4" refreshedVersion="4" minRefreshableVersion="3" recordCount="1000">
  <cacheSource type="worksheet">
    <worksheetSource ref="A1:N1001" sheet="WORKING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3">
        <s v="Adult"/>
        <s v="Senior"/>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0">
    <format dxfId="9">
      <pivotArea collapsedLevelsAreSubtotals="1" fieldPosition="0">
        <references count="2">
          <reference field="2" count="1">
            <x v="1"/>
          </reference>
          <reference field="13" count="1" selected="0">
            <x v="1"/>
          </reference>
        </references>
      </pivotArea>
    </format>
    <format dxfId="8">
      <pivotArea field="13" grandRow="1" outline="0" collapsedLevelsAreSubtotals="1" axis="axisCol" fieldPosition="0">
        <references count="1">
          <reference field="13" count="1" selected="0">
            <x v="1"/>
          </reference>
        </references>
      </pivotArea>
    </format>
    <format dxfId="7">
      <pivotArea field="2" grandCol="1" collapsedLevelsAreSubtotals="1" axis="axisRow" fieldPosition="0">
        <references count="1">
          <reference field="2" count="1">
            <x v="0"/>
          </reference>
        </references>
      </pivotArea>
    </format>
    <format dxfId="6">
      <pivotArea field="2" grandCol="1" collapsedLevelsAreSubtotals="1" axis="axisRow" fieldPosition="0">
        <references count="1">
          <reference field="2" count="1">
            <x v="1"/>
          </reference>
        </references>
      </pivotArea>
    </format>
    <format dxfId="5">
      <pivotArea grandRow="1" grandCol="1" outline="0" collapsedLevelsAreSubtotals="1" fieldPosition="0"/>
    </format>
    <format dxfId="4">
      <pivotArea collapsedLevelsAreSubtotals="1" fieldPosition="0">
        <references count="2">
          <reference field="2" count="1">
            <x v="0"/>
          </reference>
          <reference field="13" count="1" selected="0">
            <x v="0"/>
          </reference>
        </references>
      </pivotArea>
    </format>
    <format dxfId="3">
      <pivotArea collapsedLevelsAreSubtotals="1" fieldPosition="0">
        <references count="2">
          <reference field="2" count="1">
            <x v="1"/>
          </reference>
          <reference field="13" count="1" selected="0">
            <x v="0"/>
          </reference>
        </references>
      </pivotArea>
    </format>
    <format dxfId="2">
      <pivotArea field="13" grandRow="1" outline="0" collapsedLevelsAreSubtotals="1" axis="axisCol" fieldPosition="0">
        <references count="1">
          <reference field="13" count="1" selected="0">
            <x v="0"/>
          </reference>
        </references>
      </pivotArea>
    </format>
    <format dxfId="1">
      <pivotArea collapsedLevelsAreSubtotals="1" fieldPosition="0">
        <references count="2">
          <reference field="2" count="1">
            <x v="0"/>
          </reference>
          <reference field="13" count="1" selected="0">
            <x v="1"/>
          </reference>
        </references>
      </pivotArea>
    </format>
    <format dxfId="0">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4: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2:D1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997" workbookViewId="0">
      <selection activeCell="N1008" sqref="N100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zoomScaleNormal="100" workbookViewId="0">
      <selection activeCell="A26" sqref="A26:D26"/>
    </sheetView>
  </sheetViews>
  <sheetFormatPr defaultRowHeight="14.4" x14ac:dyDescent="0.3"/>
  <cols>
    <col min="1" max="1" width="21.88671875" customWidth="1"/>
    <col min="2" max="2" width="15.5546875" bestFit="1" customWidth="1"/>
    <col min="3" max="3" width="4" customWidth="1"/>
    <col min="4" max="4" width="10.77734375" customWidth="1"/>
  </cols>
  <sheetData>
    <row r="1" spans="1:8" x14ac:dyDescent="0.3">
      <c r="A1" s="8" t="s">
        <v>49</v>
      </c>
      <c r="B1" s="9"/>
    </row>
    <row r="2" spans="1:8" x14ac:dyDescent="0.3">
      <c r="A2" s="10" t="s">
        <v>50</v>
      </c>
      <c r="B2" s="10"/>
      <c r="C2" s="10"/>
      <c r="D2" s="10"/>
      <c r="E2" s="10"/>
      <c r="F2" s="10"/>
      <c r="G2" s="10"/>
      <c r="H2" s="10"/>
    </row>
    <row r="3" spans="1:8" x14ac:dyDescent="0.3">
      <c r="A3" s="4" t="s">
        <v>44</v>
      </c>
      <c r="B3" s="4" t="s">
        <v>43</v>
      </c>
    </row>
    <row r="4" spans="1:8" x14ac:dyDescent="0.3">
      <c r="A4" s="4" t="s">
        <v>41</v>
      </c>
      <c r="B4" t="s">
        <v>18</v>
      </c>
      <c r="C4" t="s">
        <v>15</v>
      </c>
      <c r="D4" t="s">
        <v>42</v>
      </c>
    </row>
    <row r="5" spans="1:8" x14ac:dyDescent="0.3">
      <c r="A5" s="5" t="s">
        <v>38</v>
      </c>
      <c r="B5" s="3">
        <v>53440</v>
      </c>
      <c r="C5" s="3">
        <v>55774.058577405856</v>
      </c>
      <c r="D5" s="3">
        <v>54580.777096114522</v>
      </c>
    </row>
    <row r="6" spans="1:8" x14ac:dyDescent="0.3">
      <c r="A6" s="5" t="s">
        <v>39</v>
      </c>
      <c r="B6" s="3">
        <v>56208.178438661707</v>
      </c>
      <c r="C6" s="3">
        <v>60123.966942148763</v>
      </c>
      <c r="D6" s="3">
        <v>58062.62230919765</v>
      </c>
    </row>
    <row r="7" spans="1:8" x14ac:dyDescent="0.3">
      <c r="A7" s="5" t="s">
        <v>42</v>
      </c>
      <c r="B7" s="3">
        <v>54874.759152215796</v>
      </c>
      <c r="C7" s="3">
        <v>57962.577962577961</v>
      </c>
      <c r="D7" s="3">
        <v>56360</v>
      </c>
    </row>
    <row r="10" spans="1:8" x14ac:dyDescent="0.3">
      <c r="A10" s="9" t="s">
        <v>51</v>
      </c>
      <c r="B10" s="9"/>
    </row>
    <row r="11" spans="1:8" x14ac:dyDescent="0.3">
      <c r="A11" s="10" t="s">
        <v>52</v>
      </c>
      <c r="B11" s="10"/>
      <c r="C11" s="10"/>
      <c r="D11" s="10"/>
      <c r="E11" s="10"/>
      <c r="F11" s="10"/>
      <c r="G11" s="10"/>
    </row>
    <row r="12" spans="1:8" x14ac:dyDescent="0.3">
      <c r="A12" s="4" t="s">
        <v>48</v>
      </c>
      <c r="B12" s="4" t="s">
        <v>43</v>
      </c>
    </row>
    <row r="13" spans="1:8" x14ac:dyDescent="0.3">
      <c r="A13" s="4" t="s">
        <v>41</v>
      </c>
      <c r="B13" t="s">
        <v>18</v>
      </c>
      <c r="C13" t="s">
        <v>15</v>
      </c>
      <c r="D13" t="s">
        <v>42</v>
      </c>
    </row>
    <row r="14" spans="1:8" x14ac:dyDescent="0.3">
      <c r="A14" s="5" t="s">
        <v>16</v>
      </c>
      <c r="B14" s="6">
        <v>166</v>
      </c>
      <c r="C14" s="6">
        <v>200</v>
      </c>
      <c r="D14" s="6">
        <v>366</v>
      </c>
    </row>
    <row r="15" spans="1:8" x14ac:dyDescent="0.3">
      <c r="A15" s="5" t="s">
        <v>26</v>
      </c>
      <c r="B15" s="6">
        <v>92</v>
      </c>
      <c r="C15" s="6">
        <v>77</v>
      </c>
      <c r="D15" s="6">
        <v>169</v>
      </c>
    </row>
    <row r="16" spans="1:8" x14ac:dyDescent="0.3">
      <c r="A16" s="5" t="s">
        <v>22</v>
      </c>
      <c r="B16" s="6">
        <v>67</v>
      </c>
      <c r="C16" s="6">
        <v>95</v>
      </c>
      <c r="D16" s="6">
        <v>162</v>
      </c>
    </row>
    <row r="17" spans="1:4" x14ac:dyDescent="0.3">
      <c r="A17" s="5" t="s">
        <v>23</v>
      </c>
      <c r="B17" s="6">
        <v>116</v>
      </c>
      <c r="C17" s="6">
        <v>76</v>
      </c>
      <c r="D17" s="6">
        <v>192</v>
      </c>
    </row>
    <row r="18" spans="1:4" x14ac:dyDescent="0.3">
      <c r="A18" s="5" t="s">
        <v>30</v>
      </c>
      <c r="B18" s="6">
        <v>78</v>
      </c>
      <c r="C18" s="6">
        <v>33</v>
      </c>
      <c r="D18" s="6">
        <v>111</v>
      </c>
    </row>
    <row r="19" spans="1:4" x14ac:dyDescent="0.3">
      <c r="A19" s="5" t="s">
        <v>42</v>
      </c>
      <c r="B19" s="6">
        <v>519</v>
      </c>
      <c r="C19" s="6">
        <v>481</v>
      </c>
      <c r="D19" s="6">
        <v>1000</v>
      </c>
    </row>
    <row r="22" spans="1:4" x14ac:dyDescent="0.3">
      <c r="A22" s="9" t="s">
        <v>53</v>
      </c>
      <c r="B22" s="9"/>
    </row>
    <row r="23" spans="1:4" x14ac:dyDescent="0.3">
      <c r="A23" s="10" t="s">
        <v>54</v>
      </c>
      <c r="B23" s="10"/>
      <c r="C23" s="10"/>
    </row>
    <row r="24" spans="1:4" x14ac:dyDescent="0.3">
      <c r="A24" s="4" t="s">
        <v>48</v>
      </c>
      <c r="B24" s="4" t="s">
        <v>43</v>
      </c>
    </row>
    <row r="25" spans="1:4" x14ac:dyDescent="0.3">
      <c r="A25" s="4" t="s">
        <v>41</v>
      </c>
      <c r="B25" t="s">
        <v>18</v>
      </c>
      <c r="C25" t="s">
        <v>15</v>
      </c>
      <c r="D25" t="s">
        <v>42</v>
      </c>
    </row>
    <row r="26" spans="1:4" x14ac:dyDescent="0.3">
      <c r="A26" s="5" t="s">
        <v>46</v>
      </c>
      <c r="B26" s="6">
        <v>71</v>
      </c>
      <c r="C26" s="6">
        <v>39</v>
      </c>
      <c r="D26" s="6">
        <v>110</v>
      </c>
    </row>
    <row r="27" spans="1:4" x14ac:dyDescent="0.3">
      <c r="A27" s="5" t="s">
        <v>45</v>
      </c>
      <c r="B27" s="6">
        <v>318</v>
      </c>
      <c r="C27" s="6">
        <v>383</v>
      </c>
      <c r="D27" s="6">
        <v>701</v>
      </c>
    </row>
    <row r="28" spans="1:4" x14ac:dyDescent="0.3">
      <c r="A28" s="5" t="s">
        <v>47</v>
      </c>
      <c r="B28" s="6">
        <v>130</v>
      </c>
      <c r="C28" s="6">
        <v>59</v>
      </c>
      <c r="D28" s="6">
        <v>189</v>
      </c>
    </row>
    <row r="29" spans="1:4" x14ac:dyDescent="0.3">
      <c r="A29" s="5" t="s">
        <v>42</v>
      </c>
      <c r="B29" s="6">
        <v>519</v>
      </c>
      <c r="C29" s="6">
        <v>481</v>
      </c>
      <c r="D29" s="6">
        <v>1000</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A2" sqref="A2"/>
    </sheetView>
  </sheetViews>
  <sheetFormatPr defaultColWidth="11.88671875" defaultRowHeight="14.4" x14ac:dyDescent="0.3"/>
  <cols>
    <col min="2" max="2" width="12.33203125" bestFit="1" customWidth="1"/>
    <col min="4" max="4" width="12.109375" style="3"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"Senior", IF(L2&gt;=31, "Adult", "Young"))</f>
        <v>Adult</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"Senior", IF(L3&gt;=31, "Adult", "Young"))</f>
        <v>Adult</v>
      </c>
      <c r="N3" t="s">
        <v>18</v>
      </c>
    </row>
    <row r="4" spans="1:14" x14ac:dyDescent="0.3">
      <c r="A4">
        <v>14177</v>
      </c>
      <c r="B4" t="s">
        <v>36</v>
      </c>
      <c r="C4" t="s">
        <v>39</v>
      </c>
      <c r="D4" s="3">
        <v>80000</v>
      </c>
      <c r="E4">
        <v>5</v>
      </c>
      <c r="F4" t="s">
        <v>19</v>
      </c>
      <c r="G4" t="s">
        <v>21</v>
      </c>
      <c r="H4" t="s">
        <v>18</v>
      </c>
      <c r="I4">
        <v>2</v>
      </c>
      <c r="J4" t="s">
        <v>22</v>
      </c>
      <c r="K4" t="s">
        <v>17</v>
      </c>
      <c r="L4">
        <v>60</v>
      </c>
      <c r="M4" t="str">
        <f t="shared" si="0"/>
        <v>Senior</v>
      </c>
      <c r="N4" t="s">
        <v>18</v>
      </c>
    </row>
    <row r="5" spans="1:14" x14ac:dyDescent="0.3">
      <c r="A5">
        <v>24381</v>
      </c>
      <c r="B5" t="s">
        <v>37</v>
      </c>
      <c r="C5" t="s">
        <v>39</v>
      </c>
      <c r="D5" s="3">
        <v>70000</v>
      </c>
      <c r="E5">
        <v>0</v>
      </c>
      <c r="F5" t="s">
        <v>13</v>
      </c>
      <c r="G5" t="s">
        <v>21</v>
      </c>
      <c r="H5" t="s">
        <v>15</v>
      </c>
      <c r="I5">
        <v>1</v>
      </c>
      <c r="J5" t="s">
        <v>23</v>
      </c>
      <c r="K5" t="s">
        <v>24</v>
      </c>
      <c r="L5">
        <v>41</v>
      </c>
      <c r="M5" t="str">
        <f t="shared" si="0"/>
        <v>Adult</v>
      </c>
      <c r="N5" t="s">
        <v>15</v>
      </c>
    </row>
    <row r="6" spans="1:14" x14ac:dyDescent="0.3">
      <c r="A6">
        <v>25597</v>
      </c>
      <c r="B6" t="s">
        <v>37</v>
      </c>
      <c r="C6" t="s">
        <v>39</v>
      </c>
      <c r="D6" s="3">
        <v>30000</v>
      </c>
      <c r="E6">
        <v>0</v>
      </c>
      <c r="F6" t="s">
        <v>13</v>
      </c>
      <c r="G6" t="s">
        <v>20</v>
      </c>
      <c r="H6" t="s">
        <v>18</v>
      </c>
      <c r="I6">
        <v>0</v>
      </c>
      <c r="J6" t="s">
        <v>16</v>
      </c>
      <c r="K6" t="s">
        <v>17</v>
      </c>
      <c r="L6">
        <v>36</v>
      </c>
      <c r="M6" t="str">
        <f t="shared" si="0"/>
        <v>Adult</v>
      </c>
      <c r="N6" t="s">
        <v>15</v>
      </c>
    </row>
    <row r="7" spans="1:14" x14ac:dyDescent="0.3">
      <c r="A7">
        <v>13507</v>
      </c>
      <c r="B7" t="s">
        <v>36</v>
      </c>
      <c r="C7" t="s">
        <v>38</v>
      </c>
      <c r="D7" s="3">
        <v>10000</v>
      </c>
      <c r="E7">
        <v>2</v>
      </c>
      <c r="F7" t="s">
        <v>19</v>
      </c>
      <c r="G7" t="s">
        <v>25</v>
      </c>
      <c r="H7" t="s">
        <v>15</v>
      </c>
      <c r="I7">
        <v>0</v>
      </c>
      <c r="J7" t="s">
        <v>26</v>
      </c>
      <c r="K7" t="s">
        <v>17</v>
      </c>
      <c r="L7">
        <v>50</v>
      </c>
      <c r="M7" t="str">
        <f t="shared" si="0"/>
        <v>Adult</v>
      </c>
      <c r="N7" t="s">
        <v>18</v>
      </c>
    </row>
    <row r="8" spans="1:14" x14ac:dyDescent="0.3">
      <c r="A8">
        <v>27974</v>
      </c>
      <c r="B8" t="s">
        <v>37</v>
      </c>
      <c r="C8" t="s">
        <v>39</v>
      </c>
      <c r="D8" s="3">
        <v>160000</v>
      </c>
      <c r="E8">
        <v>2</v>
      </c>
      <c r="F8" t="s">
        <v>27</v>
      </c>
      <c r="G8" t="s">
        <v>28</v>
      </c>
      <c r="H8" t="s">
        <v>15</v>
      </c>
      <c r="I8">
        <v>4</v>
      </c>
      <c r="J8" t="s">
        <v>16</v>
      </c>
      <c r="K8" t="s">
        <v>24</v>
      </c>
      <c r="L8">
        <v>33</v>
      </c>
      <c r="M8" t="str">
        <f t="shared" si="0"/>
        <v>Adult</v>
      </c>
      <c r="N8" t="s">
        <v>15</v>
      </c>
    </row>
    <row r="9" spans="1:14" x14ac:dyDescent="0.3">
      <c r="A9">
        <v>19364</v>
      </c>
      <c r="B9" t="s">
        <v>36</v>
      </c>
      <c r="C9" t="s">
        <v>39</v>
      </c>
      <c r="D9" s="3">
        <v>40000</v>
      </c>
      <c r="E9">
        <v>1</v>
      </c>
      <c r="F9" t="s">
        <v>13</v>
      </c>
      <c r="G9" t="s">
        <v>14</v>
      </c>
      <c r="H9" t="s">
        <v>15</v>
      </c>
      <c r="I9">
        <v>0</v>
      </c>
      <c r="J9" t="s">
        <v>16</v>
      </c>
      <c r="K9" t="s">
        <v>17</v>
      </c>
      <c r="L9">
        <v>43</v>
      </c>
      <c r="M9" t="str">
        <f t="shared" si="0"/>
        <v>Adult</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Adult</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Adult</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Adult</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Adult</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Adult</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Adult</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Adult</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Adult</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Adult</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Adult</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Adult</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Adult</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Adult</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Adult</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Adult</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Adult</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Adult</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Adult</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Adult</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Adult</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Adult</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Adult</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Adult</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Adult</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Adult</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Adult</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Adult</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Adult</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Adult</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Adult</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Adult</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Adult</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Adult</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Adult</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Adult</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Adult</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Adult</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Adult</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Adult</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"Senior", IF(L67&gt;=31, "Adult", "Young"))</f>
        <v>Senior</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Adult</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Adult</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Adult</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Adult</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Adult</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Adult</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Adult</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Adult</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Young</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Adult</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Adult</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Adult</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Adult</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Adult</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Adult</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Adult</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Adult</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Adult</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Adult</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Senior</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Adult</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Adult</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Adult</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Adult</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Adult</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Adult</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Adult</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Adult</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Adult</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Adult</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Adult</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Adult</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Adult</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Adult</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Adult</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Adult</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Adult</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Adult</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Adult</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Adult</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Adult</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Adult</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Adult</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Adult</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Adult</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"Senior", IF(L131&gt;=31, "Adult", "Young"))</f>
        <v>Adult</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Adult</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Adult</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Adult</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Adult</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Adult</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Adult</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Adult</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Adult</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Adult</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Adult</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Adult</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Adult</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Adult</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Adult</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Adult</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Adult</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Adult</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Adult</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Adult</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Adult</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Adult</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Adult</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Adult</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Adult</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Adult</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Adult</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Adult</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Adult</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Adult</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Adult</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Adult</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Adult</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Adult</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Adult</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Senior</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Adult</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Adult</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Adult</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Senior</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Adult</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Senior</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Adult</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Adult</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Adult</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Senior</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IF(L195&gt;54, "Senior", IF(L195&gt;=31, "Adult", "Young"))</f>
        <v>Adult</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Adult</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Adult</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Adult</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Adult</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Adult</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Adult</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Adult</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Adult</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Adult</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Senior</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Adult</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Adult</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Adult</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Adult</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Adult</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Adult</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Adult</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Adult</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Adult</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Adult</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Adult</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Adult</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Adult</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Adult</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Adult</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Adult</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Senior</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Senior</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Adult</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Adult</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Adult</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Adult</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Adult</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Adult</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Adult</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Adult</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Adult</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Adult</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Adult</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Adult</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Adult</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Adult</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Senior</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Adult</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Adult</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"Senior", IF(L259&gt;=31, "Adult", "Young"))</f>
        <v>Adult</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Senior</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Adult</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Adult</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Adult</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Adult</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Adult</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Adult</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Adult</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Adult</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Adult</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Adult</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Adult</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Adult</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Adult</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Adult</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Adult</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Adult</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Adult</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Adult</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Adult</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Adult</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Adult</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Adult</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Adult</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Adult</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Adult</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Adult</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Adult</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Adult</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Adult</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Adult</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Adult</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Adult</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Adult</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Adult</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Adult</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Adult</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Adult</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Adult</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Adult</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Adult</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Adult</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Adult</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Adult</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Adult</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Adult</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Adult</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Adult</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Adult</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Adult</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Adult</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Adult</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"Senior", IF(L323&gt;=31, "Adult", "Young"))</f>
        <v>Adult</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Adult</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Adult</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Adult</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Adult</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Adult</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Adult</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Senior</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Adult</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Adult</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Adult</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Adult</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Adult</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Adult</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Adult</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Adult</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Adult</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Adult</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Adult</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Adult</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Adult</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Adult</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Adult</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Adult</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Adult</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Adult</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Adult</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Adult</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Adult</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Adult</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Adult</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Adult</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Adult</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Adult</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Adult</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Adult</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Adult</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Adult</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Adult</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Adult</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Adult</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Adult</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Adult</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Adult</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Adult</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Adult</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"Senior", IF(L387&gt;=31, "Adult", "Young"))</f>
        <v>Adult</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Adult</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Adult</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Adult</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Adult</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Adult</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Adult</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Adult</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Adult</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Adult</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Adult</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Adult</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Adult</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Adult</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Adult</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Adult</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Adult</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Adult</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Adult</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Adult</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Adult</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Adult</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Adult</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Adult</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Adult</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Adult</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Adult</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Adult</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Adult</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Adult</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Senior</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Adult</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Adult</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Adult</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Adult</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Adult</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Adult</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Adult</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Adult</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Adult</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Adult</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Adult</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Adult</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Adult</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Adult</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Adult</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Adult</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Adult</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Adult</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Adult</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Adult</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Adult</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"Senior", IF(L451&gt;=31, "Adult", "Young"))</f>
        <v>Adult</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Adult</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Adult</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Adult</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Adult</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Adult</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Adult</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Adult</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Adult</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Adult</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Adult</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Adult</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Adult</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Adult</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Adult</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Adult</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Adult</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Adult</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Adult</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Adult</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Adult</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Adult</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Adult</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Adult</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Adult</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Adult</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Adult</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Adult</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Adult</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Adult</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Senior</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Adult</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Adult</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Adult</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Adult</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Adult</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Adult</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Senior</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Adult</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Senior</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Adult</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Adult</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Adult</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Adult</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Adult</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Adult</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Adult</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Adult</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Adult</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Adult</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Adult</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Adult</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Adult</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Adult</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IF(L515&gt;54, "Senior", IF(L515&gt;=31, "Adult", "Young"))</f>
        <v>Senior</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Adult</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Adult</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Adult</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Adult</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Adult</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Adult</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Senior</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Adult</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Adult</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Senior</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Adult</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Adult</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Senior</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Adult</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Senior</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Senior</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Adult</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Adult</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Adult</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Adult</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Adult</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Adult</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Adult</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Adult</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Adult</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Adult</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Adult</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Adult</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Adult</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Senior</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Adult</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Adult</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Adult</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Adult</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Adult</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Adult</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Senior</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Adult</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Adult</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Adult</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Adult</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Adult</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Adult</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Senior</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Adult</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Adult</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Senior</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Adult</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"Senior", IF(L579&gt;=31, "Adult", "Young"))</f>
        <v>Adult</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Adult</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Senior</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Adult</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Senior</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Adult</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Adult</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Adult</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Adult</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Adult</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Senior</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Adult</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Senior</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Adult</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Adult</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Adult</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Adult</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Adult</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Adult</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Adult</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Adult</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Adult</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Adult</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Adult</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Adult</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Adult</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Adult</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Adult</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Adult</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Adult</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Adult</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Adult</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Adult</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Adult</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Adult</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Adult</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Adult</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Adult</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Adult</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Adult</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Adult</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Adult</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Adult</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IF(L643&gt;54, "Senior", IF(L643&gt;=31, "Adult", "Young"))</f>
        <v>Senior</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Adult</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Adult</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Adult</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Adult</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Adult</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Adult</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Adult</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Senior</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Adult</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Adult</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Adult</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Adult</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Adult</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Adult</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Adult</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Adult</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Senior</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Adult</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Adult</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Adult</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Adult</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Adult</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Adult</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Senior</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Adult</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Adult</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Senior</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Adult</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Adult</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Adult</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Adult</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Adult</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Adult</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Senior</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Adult</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Adult</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Adult</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Adult</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Adult</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Adult</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Adult</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Adult</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Adult</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Adult</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Adult</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Adult</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Adult</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Adult</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Adult</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Adult</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Adult</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Adult</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IF(L707&gt;54, "Senior", IF(L707&gt;=31, "Adult", "Young"))</f>
        <v>Senior</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Adult</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Adult</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Senior</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Senior</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Adult</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Senior</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Adult</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Adult</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Adult</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Adult</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Adult</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Adult</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Adult</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Adult</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Adult</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Adult</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Adult</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Adult</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Adult</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Adult</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Adult</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Adult</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Adult</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Adult</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Adult</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Adult</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Adult</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Adult</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Senior</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Adult</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Adult</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Senior</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Adult</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Senior</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Adult</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Adult</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Adult</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Adult</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Adult</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Adult</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Adult</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Adult</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Adult</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Adult</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Senior</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Adult</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Adult</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Adult</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Adult</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Adult</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"Senior", IF(L771&gt;=31, "Adult", "Young"))</f>
        <v>Adult</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Adult</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Adult</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Adult</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Adult</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Adult</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Adult</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Adult</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Senior</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Adult</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Adult</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Adult</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Adult</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Adult</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Adult</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Adult</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Adult</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Adult</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Adult</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Adult</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Adult</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Adult</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Adult</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Adult</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Adult</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Adult</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Adult</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Adult</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Senior</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Adult</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Adult</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Adult</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Adult</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Adult</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Adult</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Adult</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Adult</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Adult</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Adult</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Adult</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Adult</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Adult</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Adult</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"Senior", IF(L835&gt;=31, "Adult", "Young"))</f>
        <v>Adult</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Adult</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Adult</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Adult</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Adult</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Adult</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Adult</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Adult</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Adult</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Senior</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Adult</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Adult</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Adult</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Adult</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Adult</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Adult</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Adult</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Adult</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Adult</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Adult</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Adult</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Adult</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Adult</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Adult</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Adult</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Adult</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Senior</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Adult</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Senior</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Adult</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Adult</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Senior</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Adult</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Adult</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Adult</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Adult</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Adult</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Adult</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Adult</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Adult</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Adult</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Adult</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Adult</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Adult</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Adult</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Adult</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Adult</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Adult</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Adult</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Adult</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"Senior", IF(L899&gt;=31, "Adult", "Young"))</f>
        <v>Young</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Senior</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Adult</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Adult</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Adult</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Adult</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Adult</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Adult</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Adult</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Senior</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Adult</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Adult</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Adult</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Adult</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Adult</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Adult</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Senior</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Adult</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Adult</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Adult</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Senior</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Adult</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Adult</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Adult</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Adult</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Adult</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Adult</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Senior</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Adult</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Adult</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Adult</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Adult</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Adult</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Adult</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Adult</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Adult</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Adult</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Adult</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Adult</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Adult</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Adult</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Adult</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Adult</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Adult</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Adult</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Adult</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Adult</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Adult</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Adult</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Adult</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Adult</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Adult</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Adult</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"Senior", IF(L963&gt;=31, "Adult", "Young"))</f>
        <v>Senior</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Senior</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Senior</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Adult</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Adult</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Adult</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Adult</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Adult</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Adult</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Adult</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Adult</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Adult</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Senior</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Adult</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Adult</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Adult</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Adult</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Adult</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Adult</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Adult</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Adult</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Senior</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Senior</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Senior</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Adult</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Adult</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Adult</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Adult</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Adult</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Adult</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Adult</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Adult</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Adult</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Adult</v>
      </c>
      <c r="N1001" t="s">
        <v>15</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4:P39"/>
  <sheetViews>
    <sheetView showGridLines="0" tabSelected="1" topLeftCell="B1" workbookViewId="0">
      <selection activeCell="Q33" sqref="Q33"/>
    </sheetView>
  </sheetViews>
  <sheetFormatPr defaultRowHeight="14.4" x14ac:dyDescent="0.3"/>
  <cols>
    <col min="11" max="11" width="12.88671875" bestFit="1" customWidth="1"/>
  </cols>
  <sheetData>
    <row r="4" spans="10:16" x14ac:dyDescent="0.3">
      <c r="J4" s="7"/>
      <c r="K4" s="7"/>
      <c r="L4" s="11"/>
      <c r="M4" s="11"/>
      <c r="N4" s="11"/>
      <c r="O4" s="11"/>
      <c r="P4" s="11"/>
    </row>
    <row r="20" spans="10:15" x14ac:dyDescent="0.3">
      <c r="J20" s="7"/>
      <c r="K20" s="7"/>
      <c r="L20" s="11"/>
      <c r="M20" s="11"/>
      <c r="N20" s="11"/>
      <c r="O20" s="11"/>
    </row>
    <row r="39" spans="10:12" x14ac:dyDescent="0.3">
      <c r="J39" s="7"/>
      <c r="K39" s="7"/>
      <c r="L39"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WORKING 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2026-09-08T11:46:43Z</cp:lastPrinted>
  <dcterms:created xsi:type="dcterms:W3CDTF">2022-03-18T02:50:57Z</dcterms:created>
  <dcterms:modified xsi:type="dcterms:W3CDTF">2026-09-10T12:16:17Z</dcterms:modified>
</cp:coreProperties>
</file>